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 " sheetId="1" r:id="rId5"/>
    <sheet state="visible" name="Commision Structure" sheetId="2" r:id="rId6"/>
  </sheets>
  <definedNames/>
  <calcPr/>
</workbook>
</file>

<file path=xl/sharedStrings.xml><?xml version="1.0" encoding="utf-8"?>
<sst xmlns="http://schemas.openxmlformats.org/spreadsheetml/2006/main" count="22" uniqueCount="22">
  <si>
    <t>Commision earned</t>
  </si>
  <si>
    <t>Discount Given</t>
  </si>
  <si>
    <t>Install Cost</t>
  </si>
  <si>
    <t>Up to 20%</t>
  </si>
  <si>
    <t>Up to 15%</t>
  </si>
  <si>
    <t>Up to 10%</t>
  </si>
  <si>
    <t>Up to 5%</t>
  </si>
  <si>
    <t>Material Cost</t>
  </si>
  <si>
    <t>Total Cost</t>
  </si>
  <si>
    <t>Selling Price</t>
  </si>
  <si>
    <t>No Discount given</t>
  </si>
  <si>
    <t>Margin</t>
  </si>
  <si>
    <t>Discount</t>
  </si>
  <si>
    <t>Discounted Price</t>
  </si>
  <si>
    <t>Discounted Margin</t>
  </si>
  <si>
    <t>Jaguar - Carpet</t>
  </si>
  <si>
    <t>Harvest - Carpet</t>
  </si>
  <si>
    <t>Resolve - Carpet</t>
  </si>
  <si>
    <t>Faculty - Carpet</t>
  </si>
  <si>
    <t>Alpine - Vinyl</t>
  </si>
  <si>
    <t>Montclair - Vinyl</t>
  </si>
  <si>
    <t>Citadel - Vinyl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</si>
</sst>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9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1" fillId="0" fontId="2" numFmtId="0" xfId="0" applyBorder="1" applyFont="1"/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8" max="8" width="13.63"/>
    <col customWidth="1" min="9" max="9" width="14.88"/>
  </cols>
  <sheetData>
    <row r="1">
      <c r="B1" s="4" t="s">
        <v>2</v>
      </c>
      <c r="C1" s="4" t="s">
        <v>7</v>
      </c>
      <c r="D1" s="4" t="s">
        <v>8</v>
      </c>
      <c r="E1" s="4" t="s">
        <v>9</v>
      </c>
      <c r="F1" s="4" t="s">
        <v>11</v>
      </c>
      <c r="G1" s="4" t="s">
        <v>12</v>
      </c>
      <c r="H1" s="4" t="s">
        <v>13</v>
      </c>
      <c r="I1" s="4" t="s">
        <v>14</v>
      </c>
    </row>
    <row r="2">
      <c r="A2" s="4" t="s">
        <v>15</v>
      </c>
      <c r="B2" s="7">
        <v>2.02</v>
      </c>
      <c r="C2" s="7">
        <f>9.99/9</f>
        <v>1.11</v>
      </c>
      <c r="D2" s="7">
        <f t="shared" ref="D2:D5" si="1">SUM(B2:C2)</f>
        <v>3.13</v>
      </c>
      <c r="E2" s="7">
        <v>5.99</v>
      </c>
      <c r="F2" s="8">
        <f t="shared" ref="F2:F5" si="2">(E2-D2)/E2</f>
        <v>0.4774624374</v>
      </c>
      <c r="G2" s="2">
        <v>0.0</v>
      </c>
      <c r="H2" s="5">
        <f t="shared" ref="H2:H5" si="3">E2*(1-G2)</f>
        <v>5.99</v>
      </c>
      <c r="I2" s="8">
        <f t="shared" ref="I2:I5" si="4">(H2-D2)/H2</f>
        <v>0.4774624374</v>
      </c>
    </row>
    <row r="3">
      <c r="A3" s="4" t="s">
        <v>16</v>
      </c>
      <c r="B3" s="7">
        <v>2.02</v>
      </c>
      <c r="C3" s="5">
        <f>12.99/9</f>
        <v>1.443333333</v>
      </c>
      <c r="D3" s="7">
        <f t="shared" si="1"/>
        <v>3.463333333</v>
      </c>
      <c r="E3" s="7">
        <v>6.99</v>
      </c>
      <c r="F3" s="8">
        <f t="shared" si="2"/>
        <v>0.5045302814</v>
      </c>
      <c r="G3" s="2">
        <v>0.0</v>
      </c>
      <c r="H3" s="5">
        <f t="shared" si="3"/>
        <v>6.99</v>
      </c>
      <c r="I3" s="8">
        <f t="shared" si="4"/>
        <v>0.5045302814</v>
      </c>
    </row>
    <row r="4">
      <c r="A4" s="4" t="s">
        <v>17</v>
      </c>
      <c r="B4" s="7">
        <v>2.02</v>
      </c>
      <c r="C4" s="5">
        <f>15.99/9</f>
        <v>1.776666667</v>
      </c>
      <c r="D4" s="7">
        <f t="shared" si="1"/>
        <v>3.796666667</v>
      </c>
      <c r="E4" s="7">
        <v>7.99</v>
      </c>
      <c r="F4" s="8">
        <f t="shared" si="2"/>
        <v>0.524822695</v>
      </c>
      <c r="G4" s="2">
        <v>0.0</v>
      </c>
      <c r="H4" s="5">
        <f t="shared" si="3"/>
        <v>7.99</v>
      </c>
      <c r="I4" s="8">
        <f t="shared" si="4"/>
        <v>0.524822695</v>
      </c>
    </row>
    <row r="5">
      <c r="A5" s="4" t="s">
        <v>18</v>
      </c>
      <c r="B5" s="7">
        <v>2.02</v>
      </c>
      <c r="C5" s="5">
        <f>17.99/9</f>
        <v>1.998888889</v>
      </c>
      <c r="D5" s="7">
        <f t="shared" si="1"/>
        <v>4.018888889</v>
      </c>
      <c r="E5" s="7">
        <v>11.49</v>
      </c>
      <c r="F5" s="8">
        <f t="shared" si="2"/>
        <v>0.6502272507</v>
      </c>
      <c r="G5" s="2">
        <v>0.0</v>
      </c>
      <c r="H5" s="5">
        <f t="shared" si="3"/>
        <v>11.49</v>
      </c>
      <c r="I5" s="8">
        <f t="shared" si="4"/>
        <v>0.6502272507</v>
      </c>
    </row>
    <row r="6">
      <c r="F6" s="8"/>
      <c r="G6" s="9"/>
    </row>
    <row r="7">
      <c r="A7" s="4" t="s">
        <v>19</v>
      </c>
      <c r="B7" s="7">
        <f t="shared" ref="B7:B9" si="5">1.3+0.5+0.2+0.36+0.6</f>
        <v>2.96</v>
      </c>
      <c r="C7" s="7">
        <v>1.59</v>
      </c>
      <c r="D7" s="7">
        <f t="shared" ref="D7:D9" si="6">SUM(B7:C7)</f>
        <v>4.55</v>
      </c>
      <c r="E7" s="7">
        <v>8.49</v>
      </c>
      <c r="F7" s="8">
        <f t="shared" ref="F7:F9" si="7">(E7-D7)/E7</f>
        <v>0.4640753828</v>
      </c>
      <c r="G7" s="2">
        <v>0.0</v>
      </c>
      <c r="H7" s="5">
        <f t="shared" ref="H7:H9" si="8">E7*(1-G7)</f>
        <v>8.49</v>
      </c>
      <c r="I7" s="8">
        <f t="shared" ref="I7:I9" si="9">(H7-D7)/H7</f>
        <v>0.4640753828</v>
      </c>
    </row>
    <row r="8">
      <c r="A8" s="4" t="s">
        <v>20</v>
      </c>
      <c r="B8" s="7">
        <f t="shared" si="5"/>
        <v>2.96</v>
      </c>
      <c r="C8" s="7">
        <v>1.69</v>
      </c>
      <c r="D8" s="7">
        <f t="shared" si="6"/>
        <v>4.65</v>
      </c>
      <c r="E8" s="7">
        <v>9.79</v>
      </c>
      <c r="F8" s="8">
        <f t="shared" si="7"/>
        <v>0.5250255363</v>
      </c>
      <c r="G8" s="2">
        <v>0.0</v>
      </c>
      <c r="H8" s="5">
        <f t="shared" si="8"/>
        <v>9.79</v>
      </c>
      <c r="I8" s="8">
        <f t="shared" si="9"/>
        <v>0.5250255363</v>
      </c>
    </row>
    <row r="9">
      <c r="A9" s="4" t="s">
        <v>21</v>
      </c>
      <c r="B9" s="7">
        <f t="shared" si="5"/>
        <v>2.96</v>
      </c>
      <c r="C9" s="7">
        <v>2.09</v>
      </c>
      <c r="D9" s="7">
        <f t="shared" si="6"/>
        <v>5.05</v>
      </c>
      <c r="E9" s="7">
        <v>13.49</v>
      </c>
      <c r="F9" s="8">
        <f t="shared" si="7"/>
        <v>0.6256486286</v>
      </c>
      <c r="G9" s="2">
        <v>0.0</v>
      </c>
      <c r="H9" s="5">
        <f t="shared" si="8"/>
        <v>13.49</v>
      </c>
      <c r="I9" s="8">
        <f t="shared" si="9"/>
        <v>0.6256486286</v>
      </c>
    </row>
    <row r="10">
      <c r="F1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0.38"/>
  </cols>
  <sheetData>
    <row r="1">
      <c r="B1" s="1" t="s">
        <v>0</v>
      </c>
      <c r="C1" s="1" t="s">
        <v>1</v>
      </c>
    </row>
    <row r="2">
      <c r="B2" s="2">
        <v>0.08</v>
      </c>
      <c r="C2" s="3" t="s">
        <v>3</v>
      </c>
    </row>
    <row r="3">
      <c r="B3" s="2">
        <v>0.1</v>
      </c>
      <c r="C3" s="3" t="s">
        <v>4</v>
      </c>
    </row>
    <row r="4">
      <c r="B4" s="2">
        <v>0.12</v>
      </c>
      <c r="C4" s="3" t="s">
        <v>5</v>
      </c>
    </row>
    <row r="5">
      <c r="B5" s="2">
        <v>0.14</v>
      </c>
      <c r="C5" s="3" t="s">
        <v>6</v>
      </c>
      <c r="D5" s="5"/>
    </row>
    <row r="6">
      <c r="B6" s="2">
        <v>0.16</v>
      </c>
      <c r="C6" s="3" t="s">
        <v>10</v>
      </c>
      <c r="D6" s="5"/>
    </row>
    <row r="7">
      <c r="B7" s="2"/>
    </row>
    <row r="28">
      <c r="C28" s="6"/>
    </row>
  </sheetData>
  <drawing r:id="rId1"/>
</worksheet>
</file>