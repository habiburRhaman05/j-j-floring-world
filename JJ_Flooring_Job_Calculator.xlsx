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Calculator" sheetId="1" r:id="rId4"/>
    <sheet state="visible" name="Pricing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w3EHRx3nZjBTMF2+Oa+dNfr7TR89Rax2ySaI95UP6Po="/>
    </ext>
  </extLst>
</workbook>
</file>

<file path=xl/sharedStrings.xml><?xml version="1.0" encoding="utf-8"?>
<sst xmlns="http://schemas.openxmlformats.org/spreadsheetml/2006/main" count="73" uniqueCount="66">
  <si>
    <t>Product Pricing (per sq ft)</t>
  </si>
  <si>
    <t>Commission &amp; Freebie Settings</t>
  </si>
  <si>
    <t>Job Calculator</t>
  </si>
  <si>
    <t>Yellow cells = your numbers. Everything else calculates.</t>
  </si>
  <si>
    <t>Commission Tiers</t>
  </si>
  <si>
    <t>Product</t>
  </si>
  <si>
    <t>THE JOB</t>
  </si>
  <si>
    <t>Total Discount (cash + freebies)</t>
  </si>
  <si>
    <t>Install Cost</t>
  </si>
  <si>
    <t>Commission (% of gross profit)</t>
  </si>
  <si>
    <t>Material Cost</t>
  </si>
  <si>
    <t>Max Discount</t>
  </si>
  <si>
    <t>Total Cost</t>
  </si>
  <si>
    <t>No discount</t>
  </si>
  <si>
    <t>Selling Price</t>
  </si>
  <si>
    <t>Margin</t>
  </si>
  <si>
    <t>Discount</t>
  </si>
  <si>
    <t>Discounted Price</t>
  </si>
  <si>
    <t>Discounted Margin</t>
  </si>
  <si>
    <t>Jaguar - Carpet</t>
  </si>
  <si>
    <t>Up to 5%</t>
  </si>
  <si>
    <t>Up to 10%</t>
  </si>
  <si>
    <t>Up to 15%</t>
  </si>
  <si>
    <t>Up to 20%</t>
  </si>
  <si>
    <t>Harvest - Carpet</t>
  </si>
  <si>
    <t>Over 20% = needs owner approval</t>
  </si>
  <si>
    <t>Appointment fee</t>
  </si>
  <si>
    <t>Square feet</t>
  </si>
  <si>
    <t>Free Upgrade List</t>
  </si>
  <si>
    <t>EXAMPLE prices below. Replace the yellow cells with your real retail price and cost.</t>
  </si>
  <si>
    <t>Cash discount %</t>
  </si>
  <si>
    <t>Free Upgrade</t>
  </si>
  <si>
    <t>Charged Per</t>
  </si>
  <si>
    <t>Retail Price (per unit)</t>
  </si>
  <si>
    <t>Your Cost (per unit)</t>
  </si>
  <si>
    <t>None</t>
  </si>
  <si>
    <t>Price per sq ft</t>
  </si>
  <si>
    <t>5 1/4 Baseboard</t>
  </si>
  <si>
    <t>Linear ft</t>
  </si>
  <si>
    <t>Pad upgrade (carpet)</t>
  </si>
  <si>
    <t>Sq ft</t>
  </si>
  <si>
    <t>Add more upgrades in the blank rows below (up to row 30).</t>
  </si>
  <si>
    <t>Cost per sq ft</t>
  </si>
  <si>
    <t>Resolve - Carpet</t>
  </si>
  <si>
    <t>Faculty - Carpet</t>
  </si>
  <si>
    <t>Full price (before discount)</t>
  </si>
  <si>
    <t>Alpine - Vinyl</t>
  </si>
  <si>
    <t>Montclair - Vinyl</t>
  </si>
  <si>
    <t>Citadel - Vinyl</t>
  </si>
  <si>
    <t>Cash discount $</t>
  </si>
  <si>
    <t>Customer pays</t>
  </si>
  <si>
    <t>FREE UPGRADES</t>
  </si>
  <si>
    <t>Quantity</t>
  </si>
  <si>
    <t>Retail Value</t>
  </si>
  <si>
    <t>Your Cost</t>
  </si>
  <si>
    <t>Total free upgrades</t>
  </si>
  <si>
    <t>COMMISSION</t>
  </si>
  <si>
    <t>Total discount (cash + freebie value)</t>
  </si>
  <si>
    <t>Approval needed?</t>
  </si>
  <si>
    <t>Commission rate</t>
  </si>
  <si>
    <t>Job cost (install + material)</t>
  </si>
  <si>
    <t>Freebie cost</t>
  </si>
  <si>
    <t>Gross profit</t>
  </si>
  <si>
    <t>Rep commission</t>
  </si>
  <si>
    <t>Total rep pay</t>
  </si>
  <si>
    <t>YOU KEEP (before ads &amp; overhead)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</si>
</sst>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"/>
    <numFmt numFmtId="165" formatCode="\$#,##0"/>
    <numFmt numFmtId="166" formatCode="0.0%"/>
  </numFmts>
  <fonts count="9">
    <font>
      <sz val="11.0"/>
      <color theme="1"/>
      <name val="Calibri"/>
      <scheme val="minor"/>
    </font>
    <font>
      <b/>
      <sz val="14.0"/>
      <color theme="1"/>
      <name val="Arial"/>
    </font>
    <font>
      <i/>
      <sz val="11.0"/>
      <color rgb="FF595959"/>
      <name val="Arial"/>
    </font>
    <font>
      <b/>
      <sz val="12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00FF"/>
      <name val="Arial"/>
    </font>
    <font>
      <b/>
      <sz val="11.0"/>
      <color theme="1"/>
      <name val="Arial"/>
    </font>
    <font>
      <i/>
      <sz val="11.0"/>
      <color rgb="FFC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3" fontId="6" numFmtId="9" xfId="0" applyAlignment="1" applyBorder="1" applyFill="1" applyFont="1" applyNumberForma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3" fontId="6" numFmtId="164" xfId="0" applyAlignment="1" applyBorder="1" applyFill="1" applyFont="1" applyNumberFormat="1">
      <alignment shrinkToFit="0" vertical="bottom" wrapText="0"/>
    </xf>
    <xf borderId="1" fillId="3" fontId="6" numFmtId="0" xfId="0" applyAlignment="1" applyBorder="1" applyFill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2" fillId="3" fontId="6" numFmtId="165" xfId="0" applyAlignment="1" applyBorder="1" applyFill="1" applyFont="1" applyNumberFormat="1">
      <alignment shrinkToFit="0" vertical="bottom" wrapText="0"/>
    </xf>
    <xf borderId="1" fillId="3" fontId="6" numFmtId="3" xfId="0" applyAlignment="1" applyBorder="1" applyFill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3" fontId="6" numFmtId="166" xfId="0" applyAlignment="1" applyBorder="1" applyFill="1" applyFont="1" applyNumberFormat="1">
      <alignment readingOrder="0"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1" fillId="3" fontId="6" numFmtId="164" xfId="0" applyAlignment="1" applyBorder="1" applyFill="1" applyFont="1" applyNumberFormat="1">
      <alignment readingOrder="0" shrinkToFit="0" vertical="bottom" wrapText="0"/>
    </xf>
    <xf borderId="1" fillId="0" fontId="5" numFmtId="10" xfId="0" applyAlignment="1" applyBorder="1" applyFont="1" applyNumberFormat="1">
      <alignment shrinkToFit="0" vertical="bottom" wrapText="0"/>
    </xf>
    <xf borderId="1" fillId="3" fontId="6" numFmtId="10" xfId="0" applyAlignment="1" applyBorder="1" applyFill="1" applyFont="1" applyNumberFormat="1">
      <alignment shrinkToFit="0" vertical="bottom" wrapText="0"/>
    </xf>
    <xf borderId="1" fillId="0" fontId="5" numFmtId="165" xfId="0" applyAlignment="1" applyBorder="1" applyFont="1" applyNumberFormat="1">
      <alignment shrinkToFit="0" vertical="bottom" wrapText="0"/>
    </xf>
    <xf borderId="1" fillId="0" fontId="7" numFmtId="165" xfId="0" applyAlignment="1" applyBorder="1" applyFont="1" applyNumberFormat="1">
      <alignment shrinkToFit="0" vertical="bottom" wrapText="0"/>
    </xf>
    <xf borderId="1" fillId="3" fontId="6" numFmtId="3" xfId="0" applyAlignment="1" applyBorder="1" applyFill="1" applyFont="1" applyNumberFormat="1">
      <alignment readingOrder="0" shrinkToFit="0" vertical="bottom" wrapText="0"/>
    </xf>
    <xf borderId="1" fillId="0" fontId="5" numFmtId="9" xfId="0" applyAlignment="1" applyBorder="1" applyFont="1" applyNumberFormat="1">
      <alignment shrinkToFit="0" vertical="bottom" wrapText="0"/>
    </xf>
    <xf borderId="1" fillId="4" fontId="7" numFmtId="0" xfId="0" applyAlignment="1" applyBorder="1" applyFill="1" applyFont="1">
      <alignment shrinkToFit="0" vertical="bottom" wrapText="0"/>
    </xf>
    <xf borderId="1" fillId="4" fontId="7" numFmtId="165" xfId="0" applyAlignment="1" applyBorder="1" applyFill="1" applyFont="1" applyNumberFormat="1">
      <alignment shrinkToFit="0" vertical="bottom" wrapText="0"/>
    </xf>
    <xf borderId="1" fillId="4" fontId="3" numFmtId="0" xfId="0" applyAlignment="1" applyBorder="1" applyFill="1" applyFont="1">
      <alignment shrinkToFit="0" vertical="bottom" wrapText="0"/>
    </xf>
    <xf borderId="1" fillId="4" fontId="3" numFmtId="165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36.14"/>
    <col customWidth="1" min="3" max="4" width="15.0"/>
    <col customWidth="1" min="5" max="5" width="55.0"/>
    <col customWidth="1" min="6" max="26" width="8.71"/>
  </cols>
  <sheetData>
    <row r="1">
      <c r="A1" s="1" t="s">
        <v>2</v>
      </c>
    </row>
    <row r="2">
      <c r="A2" s="2"/>
    </row>
    <row r="4">
      <c r="A4" s="3" t="s">
        <v>6</v>
      </c>
    </row>
    <row r="5">
      <c r="A5" s="5" t="s">
        <v>5</v>
      </c>
      <c r="B5" s="9" t="s">
        <v>24</v>
      </c>
    </row>
    <row r="6">
      <c r="A6" s="5" t="s">
        <v>27</v>
      </c>
      <c r="B6" s="12">
        <v>1000.0</v>
      </c>
    </row>
    <row r="7">
      <c r="A7" s="5" t="s">
        <v>30</v>
      </c>
      <c r="B7" s="14">
        <v>0.0</v>
      </c>
    </row>
    <row r="8">
      <c r="A8" s="5" t="s">
        <v>36</v>
      </c>
      <c r="B8" s="15">
        <f t="array" ref="B8">IFERROR(INDEX(Pricing!$E$5:$E$11,MATCH(B5,Pricing!$A$5:$A$11,0)),0)</f>
        <v>7.65</v>
      </c>
    </row>
    <row r="9">
      <c r="A9" s="5" t="s">
        <v>42</v>
      </c>
      <c r="B9" s="15">
        <f t="array" ref="B9">IFERROR(INDEX(Pricing!$D$5:$D$11,MATCH(B5,Pricing!$A$5:$A$11,0)),0)</f>
        <v>3.46</v>
      </c>
    </row>
    <row r="10">
      <c r="A10" s="5" t="s">
        <v>45</v>
      </c>
      <c r="B10" s="21">
        <f>B6*B8</f>
        <v>7650</v>
      </c>
    </row>
    <row r="11">
      <c r="A11" s="5" t="s">
        <v>49</v>
      </c>
      <c r="B11" s="21">
        <f>B10*B7</f>
        <v>0</v>
      </c>
    </row>
    <row r="12">
      <c r="A12" s="5" t="s">
        <v>50</v>
      </c>
      <c r="B12" s="22">
        <f>B10-B11</f>
        <v>7650</v>
      </c>
    </row>
    <row r="14">
      <c r="A14" s="3" t="s">
        <v>51</v>
      </c>
    </row>
    <row r="15">
      <c r="A15" s="4" t="s">
        <v>31</v>
      </c>
      <c r="B15" s="4" t="s">
        <v>52</v>
      </c>
      <c r="C15" s="4" t="s">
        <v>53</v>
      </c>
      <c r="D15" s="4" t="s">
        <v>54</v>
      </c>
    </row>
    <row r="16">
      <c r="A16" s="9" t="s">
        <v>37</v>
      </c>
      <c r="B16" s="23">
        <v>400.0</v>
      </c>
      <c r="C16" s="21">
        <f t="array" ref="C16">B16*IFERROR(INDEX(Settings!$C$18:$C$30,MATCH(A16,Settings!$A$18:$A$30,0)),0)</f>
        <v>1800</v>
      </c>
      <c r="D16" s="21">
        <f t="array" ref="D16">B16*IFERROR(INDEX(Settings!$D$18:$D$30,MATCH(A16,Settings!$A$18:$A$30,0)),0)</f>
        <v>1464</v>
      </c>
      <c r="E16" s="2"/>
    </row>
    <row r="17">
      <c r="A17" s="9" t="s">
        <v>39</v>
      </c>
      <c r="B17" s="12">
        <v>0.0</v>
      </c>
      <c r="C17" s="21">
        <f t="array" ref="C17">B17*IFERROR(INDEX(Settings!$C$18:$C$30,MATCH(A17,Settings!$A$18:$A$30,0)),0)</f>
        <v>0</v>
      </c>
      <c r="D17" s="21">
        <f t="array" ref="D17">B17*IFERROR(INDEX(Settings!$D$18:$D$30,MATCH(A17,Settings!$A$18:$A$30,0)),0)</f>
        <v>0</v>
      </c>
    </row>
    <row r="18">
      <c r="A18" s="17" t="s">
        <v>35</v>
      </c>
      <c r="B18" s="12">
        <v>0.0</v>
      </c>
      <c r="C18" s="21">
        <f t="array" ref="C18">B18*IFERROR(INDEX(Settings!$C$18:$C$30,MATCH(A18,Settings!$A$18:$A$30,0)),0)</f>
        <v>0</v>
      </c>
      <c r="D18" s="21">
        <f t="array" ref="D18">B18*IFERROR(INDEX(Settings!$D$18:$D$30,MATCH(A18,Settings!$A$18:$A$30,0)),0)</f>
        <v>0</v>
      </c>
    </row>
    <row r="19">
      <c r="A19" s="10" t="s">
        <v>55</v>
      </c>
      <c r="C19" s="22">
        <f t="shared" ref="C19:D19" si="1">SUM(C16:C18)</f>
        <v>1800</v>
      </c>
      <c r="D19" s="22">
        <f t="shared" si="1"/>
        <v>1464</v>
      </c>
    </row>
    <row r="21" ht="15.75" customHeight="1">
      <c r="A21" s="3" t="s">
        <v>56</v>
      </c>
    </row>
    <row r="22" ht="15.75" customHeight="1">
      <c r="A22" s="5" t="s">
        <v>57</v>
      </c>
      <c r="B22" s="19">
        <f>IF(B10=0,0,(B11+C19)/B10)</f>
        <v>0.2352941176</v>
      </c>
    </row>
    <row r="23" ht="15.75" customHeight="1">
      <c r="A23" s="5" t="s">
        <v>58</v>
      </c>
      <c r="B23" s="5" t="str">
        <f>IF(ROUND(B22,4)&gt;Settings!$C$10,"YES - over 20%, owner must approve","No")</f>
        <v>YES - over 20%, owner must approve</v>
      </c>
    </row>
    <row r="24" ht="15.75" customHeight="1">
      <c r="A24" s="5" t="s">
        <v>59</v>
      </c>
      <c r="B24" s="24">
        <f>IF(ROUND(B22,4)&lt;=Settings!$C$6,Settings!$B$6,IF(ROUND(B22,4)&lt;=Settings!$C$7,Settings!$B$7,IF(ROUND(B22,4)&lt;=Settings!$C$8,Settings!$B$8,IF(ROUND(B22,4)&lt;=Settings!$C$9,Settings!$B$9,Settings!$B$10))))</f>
        <v>0.08</v>
      </c>
    </row>
    <row r="25" ht="15.75" customHeight="1">
      <c r="A25" s="5" t="s">
        <v>60</v>
      </c>
      <c r="B25" s="21">
        <f>B6*B9</f>
        <v>3460</v>
      </c>
    </row>
    <row r="26" ht="15.75" customHeight="1">
      <c r="A26" s="5" t="s">
        <v>61</v>
      </c>
      <c r="B26" s="21">
        <f>D19</f>
        <v>1464</v>
      </c>
    </row>
    <row r="27" ht="15.75" customHeight="1">
      <c r="A27" s="5" t="s">
        <v>62</v>
      </c>
      <c r="B27" s="22">
        <f>B12-B25-B26</f>
        <v>2726</v>
      </c>
    </row>
    <row r="28" ht="15.75" customHeight="1">
      <c r="A28" s="5" t="s">
        <v>63</v>
      </c>
      <c r="B28" s="21">
        <f>B27*B24</f>
        <v>218.08</v>
      </c>
    </row>
    <row r="29" ht="15.75" customHeight="1">
      <c r="A29" s="5" t="s">
        <v>26</v>
      </c>
      <c r="B29" s="21">
        <f>Settings!$B$13</f>
        <v>75</v>
      </c>
    </row>
    <row r="30" ht="15.75" customHeight="1">
      <c r="A30" s="25" t="s">
        <v>64</v>
      </c>
      <c r="B30" s="26">
        <f>B28+B29</f>
        <v>293.08</v>
      </c>
    </row>
    <row r="31" ht="15.75" customHeight="1"/>
    <row r="32" ht="15.75" customHeight="1">
      <c r="A32" s="27" t="s">
        <v>65</v>
      </c>
      <c r="B32" s="28">
        <f>B27-B30</f>
        <v>2432.92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16:A18">
      <formula1>Settings!$A$18:$A$30</formula1>
    </dataValidation>
    <dataValidation type="list" allowBlank="1" sqref="B5">
      <formula1>Pricing!$A$5:$A$11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9" width="15.0"/>
    <col customWidth="1" min="10" max="26" width="8.71"/>
  </cols>
  <sheetData>
    <row r="1">
      <c r="A1" s="1" t="s">
        <v>0</v>
      </c>
    </row>
    <row r="2">
      <c r="A2" s="2" t="s">
        <v>3</v>
      </c>
    </row>
    <row r="4">
      <c r="A4" s="4" t="s">
        <v>5</v>
      </c>
      <c r="B4" s="4" t="s">
        <v>8</v>
      </c>
      <c r="C4" s="4" t="s">
        <v>10</v>
      </c>
      <c r="D4" s="4" t="s">
        <v>12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</row>
    <row r="5">
      <c r="A5" s="7" t="s">
        <v>19</v>
      </c>
      <c r="B5" s="8">
        <v>2.02</v>
      </c>
      <c r="C5" s="8">
        <v>1.11</v>
      </c>
      <c r="D5" s="15">
        <f t="shared" ref="D5:D11" si="1">B5+C5</f>
        <v>3.13</v>
      </c>
      <c r="E5" s="8">
        <v>6.91</v>
      </c>
      <c r="F5" s="19">
        <f t="shared" ref="F5:F11" si="2">(E5-D5)/E5</f>
        <v>0.5470332851</v>
      </c>
      <c r="G5" s="20">
        <v>0.2</v>
      </c>
      <c r="H5" s="15">
        <f t="shared" ref="H5:H11" si="3">E5*(1-G5)</f>
        <v>5.528</v>
      </c>
      <c r="I5" s="19">
        <f t="shared" ref="I5:I11" si="4">(H5-D5)/H5</f>
        <v>0.4337916064</v>
      </c>
    </row>
    <row r="6">
      <c r="A6" s="7" t="s">
        <v>24</v>
      </c>
      <c r="B6" s="8">
        <v>2.02</v>
      </c>
      <c r="C6" s="8">
        <v>1.44</v>
      </c>
      <c r="D6" s="15">
        <f t="shared" si="1"/>
        <v>3.46</v>
      </c>
      <c r="E6" s="8">
        <v>7.65</v>
      </c>
      <c r="F6" s="19">
        <f t="shared" si="2"/>
        <v>0.5477124183</v>
      </c>
      <c r="G6" s="20">
        <v>0.2</v>
      </c>
      <c r="H6" s="15">
        <f t="shared" si="3"/>
        <v>6.12</v>
      </c>
      <c r="I6" s="19">
        <f t="shared" si="4"/>
        <v>0.4346405229</v>
      </c>
    </row>
    <row r="7">
      <c r="A7" s="7" t="s">
        <v>43</v>
      </c>
      <c r="B7" s="8">
        <v>2.02</v>
      </c>
      <c r="C7" s="8">
        <v>1.78</v>
      </c>
      <c r="D7" s="15">
        <f t="shared" si="1"/>
        <v>3.8</v>
      </c>
      <c r="E7" s="8">
        <v>8.4</v>
      </c>
      <c r="F7" s="19">
        <f t="shared" si="2"/>
        <v>0.5476190476</v>
      </c>
      <c r="G7" s="20">
        <v>0.2</v>
      </c>
      <c r="H7" s="15">
        <f t="shared" si="3"/>
        <v>6.72</v>
      </c>
      <c r="I7" s="19">
        <f t="shared" si="4"/>
        <v>0.4345238095</v>
      </c>
    </row>
    <row r="8">
      <c r="A8" s="7" t="s">
        <v>44</v>
      </c>
      <c r="B8" s="8">
        <v>2.02</v>
      </c>
      <c r="C8" s="8">
        <v>2.0</v>
      </c>
      <c r="D8" s="15">
        <f t="shared" si="1"/>
        <v>4.02</v>
      </c>
      <c r="E8" s="8">
        <v>8.89</v>
      </c>
      <c r="F8" s="19">
        <f t="shared" si="2"/>
        <v>0.5478065242</v>
      </c>
      <c r="G8" s="20">
        <v>0.2</v>
      </c>
      <c r="H8" s="15">
        <f t="shared" si="3"/>
        <v>7.112</v>
      </c>
      <c r="I8" s="19">
        <f t="shared" si="4"/>
        <v>0.4347581552</v>
      </c>
    </row>
    <row r="9">
      <c r="A9" s="7" t="s">
        <v>46</v>
      </c>
      <c r="B9" s="8">
        <v>2.96</v>
      </c>
      <c r="C9" s="8">
        <v>1.59</v>
      </c>
      <c r="D9" s="15">
        <f t="shared" si="1"/>
        <v>4.55</v>
      </c>
      <c r="E9" s="8">
        <v>8.88</v>
      </c>
      <c r="F9" s="19">
        <f t="shared" si="2"/>
        <v>0.4876126126</v>
      </c>
      <c r="G9" s="20">
        <v>0.2</v>
      </c>
      <c r="H9" s="15">
        <f t="shared" si="3"/>
        <v>7.104</v>
      </c>
      <c r="I9" s="19">
        <f t="shared" si="4"/>
        <v>0.3595157658</v>
      </c>
    </row>
    <row r="10">
      <c r="A10" s="7" t="s">
        <v>47</v>
      </c>
      <c r="B10" s="8">
        <v>2.96</v>
      </c>
      <c r="C10" s="8">
        <v>1.69</v>
      </c>
      <c r="D10" s="15">
        <f t="shared" si="1"/>
        <v>4.65</v>
      </c>
      <c r="E10" s="8">
        <v>9.98</v>
      </c>
      <c r="F10" s="19">
        <f t="shared" si="2"/>
        <v>0.5340681363</v>
      </c>
      <c r="G10" s="20">
        <v>0.2</v>
      </c>
      <c r="H10" s="15">
        <f t="shared" si="3"/>
        <v>7.984</v>
      </c>
      <c r="I10" s="19">
        <f t="shared" si="4"/>
        <v>0.4175851703</v>
      </c>
    </row>
    <row r="11">
      <c r="A11" s="7" t="s">
        <v>48</v>
      </c>
      <c r="B11" s="8">
        <v>2.96</v>
      </c>
      <c r="C11" s="8">
        <v>2.09</v>
      </c>
      <c r="D11" s="15">
        <f t="shared" si="1"/>
        <v>5.05</v>
      </c>
      <c r="E11" s="8">
        <v>10.48</v>
      </c>
      <c r="F11" s="19">
        <f t="shared" si="2"/>
        <v>0.518129771</v>
      </c>
      <c r="G11" s="20">
        <v>0.2</v>
      </c>
      <c r="H11" s="15">
        <f t="shared" si="3"/>
        <v>8.384</v>
      </c>
      <c r="I11" s="19">
        <f t="shared" si="4"/>
        <v>0.3976622137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8.0"/>
    <col customWidth="1" min="3" max="3" width="22.0"/>
    <col customWidth="1" min="4" max="4" width="20.0"/>
    <col customWidth="1" min="5" max="26" width="8.71"/>
  </cols>
  <sheetData>
    <row r="1">
      <c r="A1" s="1" t="s">
        <v>1</v>
      </c>
    </row>
    <row r="2">
      <c r="A2" s="2"/>
    </row>
    <row r="4">
      <c r="A4" s="3" t="s">
        <v>4</v>
      </c>
    </row>
    <row r="5">
      <c r="A5" s="4" t="s">
        <v>7</v>
      </c>
      <c r="B5" s="4" t="s">
        <v>9</v>
      </c>
      <c r="C5" s="4" t="s">
        <v>11</v>
      </c>
    </row>
    <row r="6">
      <c r="A6" s="5" t="s">
        <v>13</v>
      </c>
      <c r="B6" s="6">
        <v>0.16</v>
      </c>
      <c r="C6" s="6">
        <v>0.0</v>
      </c>
    </row>
    <row r="7">
      <c r="A7" s="5" t="s">
        <v>20</v>
      </c>
      <c r="B7" s="6">
        <v>0.14</v>
      </c>
      <c r="C7" s="6">
        <v>0.05</v>
      </c>
    </row>
    <row r="8">
      <c r="A8" s="5" t="s">
        <v>21</v>
      </c>
      <c r="B8" s="6">
        <v>0.12</v>
      </c>
      <c r="C8" s="6">
        <v>0.1</v>
      </c>
    </row>
    <row r="9">
      <c r="A9" s="5" t="s">
        <v>22</v>
      </c>
      <c r="B9" s="6">
        <v>0.1</v>
      </c>
      <c r="C9" s="6">
        <v>0.15</v>
      </c>
    </row>
    <row r="10">
      <c r="A10" s="5" t="s">
        <v>23</v>
      </c>
      <c r="B10" s="6">
        <v>0.08</v>
      </c>
      <c r="C10" s="6">
        <v>0.2</v>
      </c>
    </row>
    <row r="11">
      <c r="A11" s="2" t="s">
        <v>25</v>
      </c>
    </row>
    <row r="13">
      <c r="A13" s="10" t="s">
        <v>26</v>
      </c>
      <c r="B13" s="11">
        <v>75.0</v>
      </c>
    </row>
    <row r="15">
      <c r="A15" s="3" t="s">
        <v>28</v>
      </c>
    </row>
    <row r="16">
      <c r="A16" s="13" t="s">
        <v>29</v>
      </c>
    </row>
    <row r="17">
      <c r="A17" s="4" t="s">
        <v>31</v>
      </c>
      <c r="B17" s="4" t="s">
        <v>32</v>
      </c>
      <c r="C17" s="4" t="s">
        <v>33</v>
      </c>
      <c r="D17" s="4" t="s">
        <v>34</v>
      </c>
    </row>
    <row r="18">
      <c r="A18" s="5" t="s">
        <v>35</v>
      </c>
      <c r="B18" s="5"/>
      <c r="C18" s="15">
        <v>0.0</v>
      </c>
      <c r="D18" s="15">
        <v>0.0</v>
      </c>
    </row>
    <row r="19">
      <c r="A19" s="16" t="s">
        <v>37</v>
      </c>
      <c r="B19" s="17" t="s">
        <v>38</v>
      </c>
      <c r="C19" s="18">
        <v>4.5</v>
      </c>
      <c r="D19" s="8">
        <f>1.66+2</f>
        <v>3.66</v>
      </c>
    </row>
    <row r="20">
      <c r="A20" s="5" t="s">
        <v>39</v>
      </c>
      <c r="B20" s="17" t="s">
        <v>40</v>
      </c>
      <c r="C20" s="18">
        <v>0.6</v>
      </c>
      <c r="D20" s="18">
        <v>0.3</v>
      </c>
    </row>
    <row r="21" ht="15.75" customHeight="1">
      <c r="A21" s="5"/>
      <c r="B21" s="17"/>
      <c r="C21" s="8"/>
      <c r="D21" s="8"/>
    </row>
    <row r="22" ht="15.75" customHeight="1">
      <c r="A22" s="5"/>
      <c r="B22" s="17"/>
      <c r="C22" s="8"/>
      <c r="D22" s="8"/>
    </row>
    <row r="23" ht="15.75" customHeight="1">
      <c r="A23" s="5"/>
      <c r="B23" s="17"/>
      <c r="C23" s="8"/>
      <c r="D23" s="8"/>
    </row>
    <row r="24" ht="15.75" customHeight="1">
      <c r="A24" s="5"/>
      <c r="B24" s="17"/>
      <c r="C24" s="8"/>
      <c r="D24" s="8"/>
    </row>
    <row r="25" ht="15.75" customHeight="1">
      <c r="A25" s="5"/>
      <c r="B25" s="17"/>
      <c r="C25" s="8"/>
      <c r="D25" s="8"/>
    </row>
    <row r="26" ht="15.75" customHeight="1">
      <c r="A26" s="5"/>
      <c r="B26" s="17"/>
      <c r="C26" s="8"/>
      <c r="D26" s="8"/>
    </row>
    <row r="27" ht="15.75" customHeight="1"/>
    <row r="28" ht="15.75" customHeight="1">
      <c r="A28" s="2" t="s">
        <v>41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2026-09-21T15:57:46Z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